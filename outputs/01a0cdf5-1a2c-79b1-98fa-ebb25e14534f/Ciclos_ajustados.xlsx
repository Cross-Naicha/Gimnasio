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15ea35dc404a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ncipal" sheetId="1" r:id="Rc787a993955d4ca3"/>
    <x:sheet xmlns:r="http://schemas.openxmlformats.org/officeDocument/2006/relationships" name="Accesorios" sheetId="3" r:id="Rfcf2a328ca914874"/>
  </x:sheets>
</x:workbook>
</file>

<file path=xl/sharedStrings.xml><?xml version="1.0" encoding="utf-8"?>
<x:sst xmlns:x="http://schemas.openxmlformats.org/spreadsheetml/2006/main">
  <x:si>
    <x:t xml:space="preserve">Ciclo</x:t>
  </x:si>
  <x:si>
    <x:t xml:space="preserve">Semana</x:t>
  </x:si>
  <x:si>
    <x:t xml:space="preserve">Peso-1</x:t>
  </x:si>
  <x:si>
    <x:t xml:space="preserve">Peso-2</x:t>
  </x:si>
  <x:si>
    <x:t xml:space="preserve">Peso-3</x:t>
  </x:si>
  <x:si>
    <x:t xml:space="preserve">Serie-1</x:t>
  </x:si>
  <x:si>
    <x:t xml:space="preserve">Serie-2</x:t>
  </x:si>
  <x:si>
    <x:t xml:space="preserve">Serie-3</x:t>
  </x:si>
  <x:si>
    <x:t xml:space="preserve">Rep_Base</x:t>
  </x:si>
  <x:si>
    <x:t xml:space="preserve">Rep_Sem</x:t>
  </x:si>
  <x:si>
    <x:t xml:space="preserve">Rep_1</x:t>
  </x:si>
  <x:si>
    <x:t xml:space="preserve">Rep_2</x:t>
  </x:si>
  <x:si>
    <x:t xml:space="preserve">Rep_3</x:t>
  </x:si>
  <x:si>
    <x:t xml:space="preserve">Serie_1</x:t>
  </x:si>
  <x:si>
    <x:t xml:space="preserve">Serie_2</x:t>
  </x:si>
  <x:si>
    <x:t xml:space="preserve">Serie_3</x:t>
  </x:si>
  <x:si>
    <x:t xml:space="preserve">Volumen</x:t>
  </x:si>
  <x:si>
    <x:t xml:space="preserve">Peso</x:t>
  </x:si>
  <x:si>
    <x:t xml:space="preserve">Pecho plano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</x:si>
</x:sst>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Aptos Narrow"/>
    </x:font>
    <x:font>
      <x:sz val="8"/>
      <x:name val="Aptos Narrow"/>
    </x:font>
    <x:font>
      <x:sz val="11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759c938b0a4ace" /><Relationship Type="http://schemas.openxmlformats.org/officeDocument/2006/relationships/theme" Target="/xl/theme/theme1.xml" Id="Rb2e2423b12864bc8" /><Relationship Type="http://schemas.openxmlformats.org/officeDocument/2006/relationships/sharedStrings" Target="/xl/sharedStrings.xml" Id="Refeb9c67edaf44f6" /><Relationship Type="http://schemas.openxmlformats.org/officeDocument/2006/relationships/worksheet" Target="/xl/worksheets/sheet1.xml" Id="Rc787a993955d4ca3" /><Relationship Type="http://schemas.openxmlformats.org/officeDocument/2006/relationships/worksheet" Target="/xl/worksheets/sheet2.xml" Id="Rfcf2a328ca91487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</x:row>
    <x:row r="2">
      <x:c r="A2">
        <x:v>1</x:v>
      </x:c>
      <x:c r="B2">
        <x:v>1</x:v>
      </x:c>
      <x:c r="C2">
        <x:v>0.7</x:v>
      </x:c>
      <x:c r="D2" t="n">
        <x:f>C2+0.025</x:f>
        <x:v>0.725</x:v>
      </x:c>
      <x:c r="E2" t="n">
        <x:f>D2+0.025</x:f>
        <x:v>0.75</x:v>
      </x:c>
      <x:c r="F2" t="n">
        <x:f>C2*$B$12</x:f>
        <x:v>71.75</x:v>
      </x:c>
      <x:c r="G2" t="n">
        <x:f t="shared" ref="G2:H10" si="0">D2*$B$12</x:f>
        <x:v>74.3125</x:v>
      </x:c>
      <x:c r="H2">
        <x:f t="shared" si="0"/>
        <x:v>76.875</x:v>
      </x:c>
      <x:c r="I2">
        <x:v>3</x:v>
      </x:c>
      <x:c r="J2">
        <x:v>3</x:v>
      </x:c>
      <x:c r="K2">
        <x:v>3</x:v>
      </x:c>
      <x:c r="L2">
        <x:v>1</x:v>
      </x:c>
      <x:c r="M2">
        <x:v>0</x:v>
      </x:c>
      <x:c r="N2" t="n">
        <x:f>I2+J2+K2</x:f>
        <x:v>9</x:v>
      </x:c>
      <x:c r="O2" t="n">
        <x:f>I2+J2+L2</x:f>
        <x:v>7</x:v>
      </x:c>
      <x:c r="P2" t="n">
        <x:f>I2+J2+M2</x:f>
        <x:v>6</x:v>
      </x:c>
      <x:c r="Q2" t="n">
        <x:f>N2+O2+P2</x:f>
        <x:v>22</x:v>
      </x:c>
      <x:c r="R2" t="n">
        <x:f>F2*N2+G2*O2+H2*P2</x:f>
        <x:v>1627.1875</x:v>
      </x:c>
    </x:row>
    <x:row r="3">
      <x:c r="A3">
        <x:v>1</x:v>
      </x:c>
      <x:c r="B3">
        <x:v>2</x:v>
      </x:c>
      <x:c r="C3">
        <x:v>0.75</x:v>
      </x:c>
      <x:c r="D3" t="n">
        <x:f t="shared" ref="D3:E10" si="1">C3+0.025</x:f>
        <x:v>0.775</x:v>
      </x:c>
      <x:c r="E3">
        <x:f t="shared" si="1"/>
        <x:v>0.8</x:v>
      </x:c>
      <x:c r="F3" t="n">
        <x:f t="shared" ref="F3:F10" si="2">C3*$B$12</x:f>
        <x:v>76.875</x:v>
      </x:c>
      <x:c r="G3">
        <x:f t="shared" si="0"/>
        <x:v>79.4375</x:v>
      </x:c>
      <x:c r="H3">
        <x:f t="shared" si="0"/>
        <x:v>82</x:v>
      </x:c>
      <x:c r="I3">
        <x:v>3</x:v>
      </x:c>
      <x:c r="J3">
        <x:v>2</x:v>
      </x:c>
      <x:c r="K3">
        <x:v>3</x:v>
      </x:c>
      <x:c r="L3">
        <x:v>1</x:v>
      </x:c>
      <x:c r="M3">
        <x:v>0</x:v>
      </x:c>
      <x:c r="N3" t="n">
        <x:f t="shared" ref="N3:N10" si="3">I3+J3+K3</x:f>
        <x:v>8</x:v>
      </x:c>
      <x:c r="O3" t="n">
        <x:f t="shared" ref="O3:O10" si="4">I3+J3+L3</x:f>
        <x:v>6</x:v>
      </x:c>
      <x:c r="P3" t="n">
        <x:f t="shared" ref="P3:P10" si="5">I3+J3+M3</x:f>
        <x:v>5</x:v>
      </x:c>
      <x:c r="Q3" t="n">
        <x:f t="shared" ref="Q3:Q10" si="6">N3+O3+P3</x:f>
        <x:v>19</x:v>
      </x:c>
      <x:c r="R3" t="n">
        <x:f t="shared" ref="R3:R10" si="7">F3*N3+G3*O3+H3*P3</x:f>
        <x:v>1501.625</x:v>
      </x:c>
    </x:row>
    <x:row r="4">
      <x:c r="A4">
        <x:v>1</x:v>
      </x:c>
      <x:c r="B4">
        <x:v>3</x:v>
      </x:c>
      <x:c r="C4">
        <x:v>0.8</x:v>
      </x:c>
      <x:c r="D4">
        <x:f t="shared" si="1"/>
        <x:v>0.82500000000000007</x:v>
      </x:c>
      <x:c r="E4">
        <x:f t="shared" si="1"/>
        <x:v>0.85000000000000009</x:v>
      </x:c>
      <x:c r="F4">
        <x:f t="shared" si="2"/>
        <x:v>82</x:v>
      </x:c>
      <x:c r="G4">
        <x:f t="shared" si="0"/>
        <x:v>84.5625</x:v>
      </x:c>
      <x:c r="H4">
        <x:f t="shared" si="0"/>
        <x:v>87.125000000000014</x:v>
      </x:c>
      <x:c r="I4">
        <x:v>3</x:v>
      </x:c>
      <x:c r="J4">
        <x:v>1</x:v>
      </x:c>
      <x:c r="K4">
        <x:v>3</x:v>
      </x:c>
      <x:c r="L4">
        <x:v>1</x:v>
      </x:c>
      <x:c r="M4">
        <x:v>0</x:v>
      </x:c>
      <x:c r="N4">
        <x:f t="shared" si="3"/>
        <x:v>7</x:v>
      </x:c>
      <x:c r="O4">
        <x:f t="shared" si="4"/>
        <x:v>5</x:v>
      </x:c>
      <x:c r="P4">
        <x:f t="shared" si="5"/>
        <x:v>4</x:v>
      </x:c>
      <x:c r="Q4">
        <x:f t="shared" si="6"/>
        <x:v>16</x:v>
      </x:c>
      <x:c r="R4">
        <x:f t="shared" si="7"/>
        <x:v>1345.3125</x:v>
      </x:c>
    </x:row>
    <x:row r="5">
      <x:c r="A5">
        <x:v>2</x:v>
      </x:c>
      <x:c r="B5">
        <x:v>4</x:v>
      </x:c>
      <x:c r="C5">
        <x:v>0.75</x:v>
      </x:c>
      <x:c r="D5">
        <x:f t="shared" si="1"/>
        <x:v>0.77500000000000002</x:v>
      </x:c>
      <x:c r="E5">
        <x:f t="shared" si="1"/>
        <x:v>0.8</x:v>
      </x:c>
      <x:c r="F5">
        <x:f t="shared" si="2"/>
        <x:v>76.875</x:v>
      </x:c>
      <x:c r="G5">
        <x:f t="shared" si="0"/>
        <x:v>79.4375</x:v>
      </x:c>
      <x:c r="H5">
        <x:f t="shared" si="0"/>
        <x:v>82</x:v>
      </x:c>
      <x:c r="I5">
        <x:v>2</x:v>
      </x:c>
      <x:c r="J5">
        <x:v>3</x:v>
      </x:c>
      <x:c r="K5">
        <x:v>3</x:v>
      </x:c>
      <x:c r="L5">
        <x:v>1</x:v>
      </x:c>
      <x:c r="M5">
        <x:v>0</x:v>
      </x:c>
      <x:c r="N5">
        <x:f t="shared" si="3"/>
        <x:v>8</x:v>
      </x:c>
      <x:c r="O5">
        <x:f t="shared" si="4"/>
        <x:v>6</x:v>
      </x:c>
      <x:c r="P5">
        <x:f t="shared" si="5"/>
        <x:v>5</x:v>
      </x:c>
      <x:c r="Q5">
        <x:f t="shared" si="6"/>
        <x:v>19</x:v>
      </x:c>
      <x:c r="R5">
        <x:f t="shared" si="7"/>
        <x:v>1501.625</x:v>
      </x:c>
    </x:row>
    <x:row r="6">
      <x:c r="A6">
        <x:v>2</x:v>
      </x:c>
      <x:c r="B6">
        <x:v>5</x:v>
      </x:c>
      <x:c r="C6">
        <x:v>0.8</x:v>
      </x:c>
      <x:c r="D6">
        <x:f t="shared" si="1"/>
        <x:v>0.82500000000000007</x:v>
      </x:c>
      <x:c r="E6">
        <x:f t="shared" si="1"/>
        <x:v>0.85000000000000009</x:v>
      </x:c>
      <x:c r="F6">
        <x:f t="shared" si="2"/>
        <x:v>82</x:v>
      </x:c>
      <x:c r="G6">
        <x:f t="shared" si="0"/>
        <x:v>84.5625</x:v>
      </x:c>
      <x:c r="H6">
        <x:f t="shared" si="0"/>
        <x:v>87.125000000000014</x:v>
      </x:c>
      <x:c r="I6">
        <x:v>2</x:v>
      </x:c>
      <x:c r="J6">
        <x:v>2</x:v>
      </x:c>
      <x:c r="K6">
        <x:v>3</x:v>
      </x:c>
      <x:c r="L6">
        <x:v>1</x:v>
      </x:c>
      <x:c r="M6">
        <x:v>0</x:v>
      </x:c>
      <x:c r="N6">
        <x:f t="shared" si="3"/>
        <x:v>7</x:v>
      </x:c>
      <x:c r="O6">
        <x:f t="shared" si="4"/>
        <x:v>5</x:v>
      </x:c>
      <x:c r="P6">
        <x:f t="shared" si="5"/>
        <x:v>4</x:v>
      </x:c>
      <x:c r="Q6">
        <x:f t="shared" si="6"/>
        <x:v>16</x:v>
      </x:c>
      <x:c r="R6">
        <x:f t="shared" si="7"/>
        <x:v>1345.3125</x:v>
      </x:c>
    </x:row>
    <x:row r="7">
      <x:c r="A7">
        <x:v>2</x:v>
      </x:c>
      <x:c r="B7">
        <x:v>6</x:v>
      </x:c>
      <x:c r="C7">
        <x:v>0.85</x:v>
      </x:c>
      <x:c r="D7">
        <x:f t="shared" si="1"/>
        <x:v>0.875</x:v>
      </x:c>
      <x:c r="E7">
        <x:f t="shared" si="1"/>
        <x:v>0.9</x:v>
      </x:c>
      <x:c r="F7">
        <x:f t="shared" si="2"/>
        <x:v>87.125</x:v>
      </x:c>
      <x:c r="G7">
        <x:f t="shared" si="0"/>
        <x:v>89.6875</x:v>
      </x:c>
      <x:c r="H7">
        <x:f t="shared" si="0"/>
        <x:v>92.25</x:v>
      </x:c>
      <x:c r="I7">
        <x:v>2</x:v>
      </x:c>
      <x:c r="J7">
        <x:v>1</x:v>
      </x:c>
      <x:c r="K7">
        <x:v>3</x:v>
      </x:c>
      <x:c r="L7">
        <x:v>1</x:v>
      </x:c>
      <x:c r="M7">
        <x:v>0</x:v>
      </x:c>
      <x:c r="N7">
        <x:f t="shared" si="3"/>
        <x:v>6</x:v>
      </x:c>
      <x:c r="O7">
        <x:f t="shared" si="4"/>
        <x:v>4</x:v>
      </x:c>
      <x:c r="P7">
        <x:f t="shared" si="5"/>
        <x:v>3</x:v>
      </x:c>
      <x:c r="Q7">
        <x:f t="shared" si="6"/>
        <x:v>13</x:v>
      </x:c>
      <x:c r="R7">
        <x:f t="shared" si="7"/>
        <x:v>1158.25</x:v>
      </x:c>
    </x:row>
    <x:row r="8">
      <x:c r="A8">
        <x:v>3</x:v>
      </x:c>
      <x:c r="B8">
        <x:v>7</x:v>
      </x:c>
      <x:c r="C8">
        <x:v>0.8</x:v>
      </x:c>
      <x:c r="D8">
        <x:f t="shared" si="1"/>
        <x:v>0.82500000000000007</x:v>
      </x:c>
      <x:c r="E8">
        <x:f t="shared" si="1"/>
        <x:v>0.85000000000000009</x:v>
      </x:c>
      <x:c r="F8">
        <x:f t="shared" si="2"/>
        <x:v>82</x:v>
      </x:c>
      <x:c r="G8">
        <x:f t="shared" si="0"/>
        <x:v>84.5625</x:v>
      </x:c>
      <x:c r="H8">
        <x:f t="shared" si="0"/>
        <x:v>87.125000000000014</x:v>
      </x:c>
      <x:c r="I8">
        <x:v>1</x:v>
      </x:c>
      <x:c r="J8">
        <x:v>3</x:v>
      </x:c>
      <x:c r="K8">
        <x:v>3</x:v>
      </x:c>
      <x:c r="L8">
        <x:v>1</x:v>
      </x:c>
      <x:c r="M8">
        <x:v>0</x:v>
      </x:c>
      <x:c r="N8">
        <x:f t="shared" si="3"/>
        <x:v>7</x:v>
      </x:c>
      <x:c r="O8">
        <x:f t="shared" si="4"/>
        <x:v>5</x:v>
      </x:c>
      <x:c r="P8">
        <x:f t="shared" si="5"/>
        <x:v>4</x:v>
      </x:c>
      <x:c r="Q8">
        <x:f t="shared" si="6"/>
        <x:v>16</x:v>
      </x:c>
      <x:c r="R8">
        <x:f t="shared" si="7"/>
        <x:v>1345.3125</x:v>
      </x:c>
    </x:row>
    <x:row r="9">
      <x:c r="A9">
        <x:v>3</x:v>
      </x:c>
      <x:c r="B9">
        <x:v>8</x:v>
      </x:c>
      <x:c r="C9">
        <x:v>0.85</x:v>
      </x:c>
      <x:c r="D9">
        <x:f t="shared" si="1"/>
        <x:v>0.875</x:v>
      </x:c>
      <x:c r="E9">
        <x:f t="shared" si="1"/>
        <x:v>0.9</x:v>
      </x:c>
      <x:c r="F9">
        <x:f t="shared" si="2"/>
        <x:v>87.125</x:v>
      </x:c>
      <x:c r="G9">
        <x:f t="shared" si="0"/>
        <x:v>89.6875</x:v>
      </x:c>
      <x:c r="H9">
        <x:f t="shared" si="0"/>
        <x:v>92.25</x:v>
      </x:c>
      <x:c r="I9">
        <x:v>1</x:v>
      </x:c>
      <x:c r="J9">
        <x:v>2</x:v>
      </x:c>
      <x:c r="K9">
        <x:v>3</x:v>
      </x:c>
      <x:c r="L9">
        <x:v>1</x:v>
      </x:c>
      <x:c r="M9">
        <x:v>0</x:v>
      </x:c>
      <x:c r="N9">
        <x:f t="shared" si="3"/>
        <x:v>6</x:v>
      </x:c>
      <x:c r="O9">
        <x:f t="shared" si="4"/>
        <x:v>4</x:v>
      </x:c>
      <x:c r="P9">
        <x:f t="shared" si="5"/>
        <x:v>3</x:v>
      </x:c>
      <x:c r="Q9">
        <x:f t="shared" si="6"/>
        <x:v>13</x:v>
      </x:c>
      <x:c r="R9">
        <x:f t="shared" si="7"/>
        <x:v>1158.25</x:v>
      </x:c>
    </x:row>
    <x:row r="10">
      <x:c r="A10">
        <x:v>3</x:v>
      </x:c>
      <x:c r="B10">
        <x:v>9</x:v>
      </x:c>
      <x:c r="C10">
        <x:v>0.9</x:v>
      </x:c>
      <x:c r="D10">
        <x:f t="shared" si="1"/>
        <x:v>0.92500000000000004</x:v>
      </x:c>
      <x:c r="E10">
        <x:f t="shared" si="1"/>
        <x:v>0.95000000000000007</x:v>
      </x:c>
      <x:c r="F10">
        <x:f t="shared" si="2"/>
        <x:v>92.25</x:v>
      </x:c>
      <x:c r="G10">
        <x:f t="shared" si="0"/>
        <x:v>94.8125</x:v>
      </x:c>
      <x:c r="H10" t="n">
        <x:f>E10*$B$12</x:f>
        <x:v>97.375</x:v>
      </x:c>
      <x:c r="I10">
        <x:v>1</x:v>
      </x:c>
      <x:c r="J10">
        <x:v>1</x:v>
      </x:c>
      <x:c r="K10">
        <x:v>3</x:v>
      </x:c>
      <x:c r="L10">
        <x:v>1</x:v>
      </x:c>
      <x:c r="M10">
        <x:v>0</x:v>
      </x:c>
      <x:c r="N10">
        <x:f t="shared" si="3"/>
        <x:v>5</x:v>
      </x:c>
      <x:c r="O10">
        <x:f t="shared" si="4"/>
        <x:v>3</x:v>
      </x:c>
      <x:c r="P10">
        <x:f t="shared" si="5"/>
        <x:v>2</x:v>
      </x:c>
      <x:c r="Q10">
        <x:f t="shared" si="6"/>
        <x:v>10</x:v>
      </x:c>
      <x:c r="R10">
        <x:f t="shared" si="7"/>
        <x:v>940.4375</x:v>
      </x:c>
    </x:row>
    <x:row r="12">
      <x:c r="A12" t="s">
        <x:v>18</x:v>
      </x:c>
      <x:c r="B12">
        <x:v>102.5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4.399999618530273"/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  <x:c r="P1" t="s">
        <x:v>15</x:v>
      </x:c>
      <x:c r="Q1" t="s">
        <x:v>16</x:v>
      </x:c>
      <x:c r="R1" t="s">
        <x:v>17</x:v>
      </x:c>
    </x:row>
    <x:row r="2">
      <x:c r="A2">
        <x:v>1</x:v>
      </x:c>
      <x:c r="B2">
        <x:v>1</x:v>
      </x:c>
      <x:c r="C2" t="n">
        <x:v>0.6</x:v>
      </x:c>
      <x:c r="D2" t="n">
        <x:f>C2+0.025</x:f>
        <x:v>0.625</x:v>
      </x:c>
      <x:c r="E2" t="n">
        <x:f>D2+0.025</x:f>
        <x:v>0.65</x:v>
      </x:c>
      <x:c r="F2" t="str">
        <x:f>IF(ISNUMBER($B$12),C2*$B$12,"")</x:f>
      </x:c>
      <x:c r="G2" t="str">
        <x:f t="shared" ref="G2:H10" si="0">IF(ISNUMBER($B$12),D2*$B$12,"")</x:f>
      </x:c>
      <x:c r="H2" t="str">
        <x:f t="shared" si="0">IF(ISNUMBER($B$12),E2*$B$12,"")</x:f>
      </x:c>
      <x:c r="I2" t="n">
        <x:v>9</x:v>
      </x:c>
      <x:c r="J2">
        <x:v>3</x:v>
      </x:c>
      <x:c r="K2">
        <x:v>3</x:v>
      </x:c>
      <x:c r="L2">
        <x:v>1</x:v>
      </x:c>
      <x:c r="M2">
        <x:v>0</x:v>
      </x:c>
      <x:c r="N2" t="n">
        <x:f>I2+J2+K2</x:f>
        <x:v>15</x:v>
      </x:c>
      <x:c r="O2" t="n">
        <x:f>I2+J2+L2</x:f>
        <x:v>13</x:v>
      </x:c>
      <x:c r="P2" t="n">
        <x:f>I2+J2+M2</x:f>
        <x:v>12</x:v>
      </x:c>
      <x:c r="Q2" t="n">
        <x:f>N2+O2+P2</x:f>
        <x:v>40</x:v>
      </x:c>
      <x:c r="R2" t="str">
        <x:f>IF(ISNUMBER($B$12),F2*N2+G2*O2+H2*P2,"")</x:f>
      </x:c>
    </x:row>
    <x:row r="3">
      <x:c r="A3">
        <x:v>1</x:v>
      </x:c>
      <x:c r="B3">
        <x:v>2</x:v>
      </x:c>
      <x:c r="C3" t="n">
        <x:v>0.625</x:v>
      </x:c>
      <x:c r="D3" t="n">
        <x:f t="shared" ref="D3:E10" si="1">C3+0.025</x:f>
        <x:v>0.65</x:v>
      </x:c>
      <x:c r="E3" t="n">
        <x:f t="shared" si="1">D3+0.025</x:f>
        <x:v>0.675</x:v>
      </x:c>
      <x:c r="F3" t="str">
        <x:f t="shared" ref="F3:F10" si="2">IF(ISNUMBER($B$12),C3*$B$12,"")</x:f>
      </x:c>
      <x:c r="G3" t="str">
        <x:f t="shared" si="0">IF(ISNUMBER($B$12),D3*$B$12,"")</x:f>
      </x:c>
      <x:c r="H3" t="str">
        <x:f t="shared" si="0">IF(ISNUMBER($B$12),E3*$B$12,"")</x:f>
      </x:c>
      <x:c r="I3" t="n">
        <x:v>9</x:v>
      </x:c>
      <x:c r="J3">
        <x:v>2</x:v>
      </x:c>
      <x:c r="K3">
        <x:v>3</x:v>
      </x:c>
      <x:c r="L3">
        <x:v>1</x:v>
      </x:c>
      <x:c r="M3">
        <x:v>0</x:v>
      </x:c>
      <x:c r="N3" t="n">
        <x:f t="shared" ref="N3:N10" si="3">I3+J3+K3</x:f>
        <x:v>14</x:v>
      </x:c>
      <x:c r="O3" t="n">
        <x:f t="shared" ref="O3:O10" si="4">I3+J3+L3</x:f>
        <x:v>12</x:v>
      </x:c>
      <x:c r="P3" t="n">
        <x:f t="shared" ref="P3:P10" si="5">I3+J3+M3</x:f>
        <x:v>11</x:v>
      </x:c>
      <x:c r="Q3" t="n">
        <x:f t="shared" ref="Q3:Q10" si="6">N3+O3+P3</x:f>
        <x:v>37</x:v>
      </x:c>
      <x:c r="R3" t="str">
        <x:f t="shared" ref="R3:R10" si="7">IF(ISNUMBER($B$12),F3*N3+G3*O3+H3*P3,"")</x:f>
      </x:c>
    </x:row>
    <x:row r="4">
      <x:c r="A4">
        <x:v>1</x:v>
      </x:c>
      <x:c r="B4">
        <x:v>3</x:v>
      </x:c>
      <x:c r="C4" t="n">
        <x:v>0.65</x:v>
      </x:c>
      <x:c r="D4" t="n">
        <x:f t="shared" si="1">C4+0.025</x:f>
        <x:v>0.675</x:v>
      </x:c>
      <x:c r="E4" t="n">
        <x:f t="shared" si="1">D4+0.025</x:f>
        <x:v>0.7000000000000001</x:v>
      </x:c>
      <x:c r="F4" t="str">
        <x:f t="shared" si="2">IF(ISNUMBER($B$12),C4*$B$12,"")</x:f>
      </x:c>
      <x:c r="G4" t="str">
        <x:f t="shared" si="0">IF(ISNUMBER($B$12),D4*$B$12,"")</x:f>
      </x:c>
      <x:c r="H4" t="str">
        <x:f t="shared" si="0">IF(ISNUMBER($B$12),E4*$B$12,"")</x:f>
      </x:c>
      <x:c r="I4" t="n">
        <x:v>9</x:v>
      </x:c>
      <x:c r="J4">
        <x:v>1</x:v>
      </x:c>
      <x:c r="K4">
        <x:v>3</x:v>
      </x:c>
      <x:c r="L4">
        <x:v>1</x:v>
      </x:c>
      <x:c r="M4">
        <x:v>0</x:v>
      </x:c>
      <x:c r="N4" t="n">
        <x:f t="shared" si="3">I4+J4+K4</x:f>
        <x:v>13</x:v>
      </x:c>
      <x:c r="O4" t="n">
        <x:f t="shared" si="4">I4+J4+L4</x:f>
        <x:v>11</x:v>
      </x:c>
      <x:c r="P4" t="n">
        <x:f t="shared" si="5">I4+J4+M4</x:f>
        <x:v>10</x:v>
      </x:c>
      <x:c r="Q4" t="n">
        <x:f t="shared" si="6">N4+O4+P4</x:f>
        <x:v>34</x:v>
      </x:c>
      <x:c r="R4" t="str">
        <x:f t="shared" si="7">IF(ISNUMBER($B$12),F4*N4+G4*O4+H4*P4,"")</x:f>
      </x:c>
    </x:row>
    <x:row r="5">
      <x:c r="A5">
        <x:v>2</x:v>
      </x:c>
      <x:c r="B5">
        <x:v>4</x:v>
      </x:c>
      <x:c r="C5" t="n">
        <x:v>0.625</x:v>
      </x:c>
      <x:c r="D5" t="n">
        <x:f t="shared" si="1">C5+0.025</x:f>
        <x:v>0.65</x:v>
      </x:c>
      <x:c r="E5" t="n">
        <x:f t="shared" si="1">D5+0.025</x:f>
        <x:v>0.675</x:v>
      </x:c>
      <x:c r="F5" t="str">
        <x:f t="shared" si="2">IF(ISNUMBER($B$12),C5*$B$12,"")</x:f>
      </x:c>
      <x:c r="G5" t="str">
        <x:f t="shared" si="0">IF(ISNUMBER($B$12),D5*$B$12,"")</x:f>
      </x:c>
      <x:c r="H5" t="str">
        <x:f t="shared" si="0">IF(ISNUMBER($B$12),E5*$B$12,"")</x:f>
      </x:c>
      <x:c r="I5" t="n">
        <x:v>8</x:v>
      </x:c>
      <x:c r="J5">
        <x:v>3</x:v>
      </x:c>
      <x:c r="K5">
        <x:v>3</x:v>
      </x:c>
      <x:c r="L5">
        <x:v>1</x:v>
      </x:c>
      <x:c r="M5">
        <x:v>0</x:v>
      </x:c>
      <x:c r="N5" t="n">
        <x:f t="shared" si="3">I5+J5+K5</x:f>
        <x:v>14</x:v>
      </x:c>
      <x:c r="O5" t="n">
        <x:f t="shared" si="4">I5+J5+L5</x:f>
        <x:v>12</x:v>
      </x:c>
      <x:c r="P5" t="n">
        <x:f t="shared" si="5">I5+J5+M5</x:f>
        <x:v>11</x:v>
      </x:c>
      <x:c r="Q5" t="n">
        <x:f t="shared" si="6">N5+O5+P5</x:f>
        <x:v>37</x:v>
      </x:c>
      <x:c r="R5" t="str">
        <x:f t="shared" si="7">IF(ISNUMBER($B$12),F5*N5+G5*O5+H5*P5,"")</x:f>
      </x:c>
    </x:row>
    <x:row r="6">
      <x:c r="A6">
        <x:v>2</x:v>
      </x:c>
      <x:c r="B6">
        <x:v>5</x:v>
      </x:c>
      <x:c r="C6" t="n">
        <x:v>0.65</x:v>
      </x:c>
      <x:c r="D6" t="n">
        <x:f t="shared" si="1">C6+0.025</x:f>
        <x:v>0.675</x:v>
      </x:c>
      <x:c r="E6" t="n">
        <x:f t="shared" si="1">D6+0.025</x:f>
        <x:v>0.7000000000000001</x:v>
      </x:c>
      <x:c r="F6" t="str">
        <x:f t="shared" si="2">IF(ISNUMBER($B$12),C6*$B$12,"")</x:f>
      </x:c>
      <x:c r="G6" t="str">
        <x:f t="shared" si="0">IF(ISNUMBER($B$12),D6*$B$12,"")</x:f>
      </x:c>
      <x:c r="H6" t="str">
        <x:f t="shared" si="0">IF(ISNUMBER($B$12),E6*$B$12,"")</x:f>
      </x:c>
      <x:c r="I6" t="n">
        <x:v>8</x:v>
      </x:c>
      <x:c r="J6">
        <x:v>2</x:v>
      </x:c>
      <x:c r="K6">
        <x:v>3</x:v>
      </x:c>
      <x:c r="L6">
        <x:v>1</x:v>
      </x:c>
      <x:c r="M6">
        <x:v>0</x:v>
      </x:c>
      <x:c r="N6" t="n">
        <x:f t="shared" si="3">I6+J6+K6</x:f>
        <x:v>13</x:v>
      </x:c>
      <x:c r="O6" t="n">
        <x:f t="shared" si="4">I6+J6+L6</x:f>
        <x:v>11</x:v>
      </x:c>
      <x:c r="P6" t="n">
        <x:f t="shared" si="5">I6+J6+M6</x:f>
        <x:v>10</x:v>
      </x:c>
      <x:c r="Q6" t="n">
        <x:f t="shared" si="6">N6+O6+P6</x:f>
        <x:v>34</x:v>
      </x:c>
      <x:c r="R6" t="str">
        <x:f t="shared" si="7">IF(ISNUMBER($B$12),F6*N6+G6*O6+H6*P6,"")</x:f>
      </x:c>
    </x:row>
    <x:row r="7">
      <x:c r="A7">
        <x:v>2</x:v>
      </x:c>
      <x:c r="B7">
        <x:v>6</x:v>
      </x:c>
      <x:c r="C7" t="n">
        <x:v>0.675</x:v>
      </x:c>
      <x:c r="D7" t="n">
        <x:f t="shared" si="1">C7+0.025</x:f>
        <x:v>0.7000000000000001</x:v>
      </x:c>
      <x:c r="E7" t="n">
        <x:f t="shared" si="1">D7+0.025</x:f>
        <x:v>0.7250000000000001</x:v>
      </x:c>
      <x:c r="F7" t="str">
        <x:f t="shared" si="2">IF(ISNUMBER($B$12),C7*$B$12,"")</x:f>
      </x:c>
      <x:c r="G7" t="str">
        <x:f t="shared" si="0">IF(ISNUMBER($B$12),D7*$B$12,"")</x:f>
      </x:c>
      <x:c r="H7" t="str">
        <x:f t="shared" si="0">IF(ISNUMBER($B$12),E7*$B$12,"")</x:f>
      </x:c>
      <x:c r="I7" t="n">
        <x:v>8</x:v>
      </x:c>
      <x:c r="J7">
        <x:v>1</x:v>
      </x:c>
      <x:c r="K7">
        <x:v>3</x:v>
      </x:c>
      <x:c r="L7">
        <x:v>1</x:v>
      </x:c>
      <x:c r="M7">
        <x:v>0</x:v>
      </x:c>
      <x:c r="N7" t="n">
        <x:f t="shared" si="3">I7+J7+K7</x:f>
        <x:v>12</x:v>
      </x:c>
      <x:c r="O7" t="n">
        <x:f t="shared" si="4">I7+J7+L7</x:f>
        <x:v>10</x:v>
      </x:c>
      <x:c r="P7" t="n">
        <x:f t="shared" si="5">I7+J7+M7</x:f>
        <x:v>9</x:v>
      </x:c>
      <x:c r="Q7" t="n">
        <x:f t="shared" si="6">N7+O7+P7</x:f>
        <x:v>31</x:v>
      </x:c>
      <x:c r="R7" t="str">
        <x:f t="shared" si="7">IF(ISNUMBER($B$12),F7*N7+G7*O7+H7*P7,"")</x:f>
      </x:c>
    </x:row>
    <x:row r="8">
      <x:c r="A8">
        <x:v>3</x:v>
      </x:c>
      <x:c r="B8">
        <x:v>7</x:v>
      </x:c>
      <x:c r="C8" t="n">
        <x:v>0.65</x:v>
      </x:c>
      <x:c r="D8" t="n">
        <x:f t="shared" si="1">C8+0.025</x:f>
        <x:v>0.675</x:v>
      </x:c>
      <x:c r="E8" t="n">
        <x:f t="shared" si="1">D8+0.025</x:f>
        <x:v>0.7000000000000001</x:v>
      </x:c>
      <x:c r="F8" t="str">
        <x:f t="shared" si="2">IF(ISNUMBER($B$12),C8*$B$12,"")</x:f>
      </x:c>
      <x:c r="G8" t="str">
        <x:f t="shared" si="0">IF(ISNUMBER($B$12),D8*$B$12,"")</x:f>
      </x:c>
      <x:c r="H8" t="str">
        <x:f t="shared" si="0">IF(ISNUMBER($B$12),E8*$B$12,"")</x:f>
      </x:c>
      <x:c r="I8" t="n">
        <x:v>7</x:v>
      </x:c>
      <x:c r="J8">
        <x:v>3</x:v>
      </x:c>
      <x:c r="K8">
        <x:v>3</x:v>
      </x:c>
      <x:c r="L8">
        <x:v>1</x:v>
      </x:c>
      <x:c r="M8">
        <x:v>0</x:v>
      </x:c>
      <x:c r="N8" t="n">
        <x:f t="shared" si="3">I8+J8+K8</x:f>
        <x:v>13</x:v>
      </x:c>
      <x:c r="O8" t="n">
        <x:f t="shared" si="4">I8+J8+L8</x:f>
        <x:v>11</x:v>
      </x:c>
      <x:c r="P8" t="n">
        <x:f t="shared" si="5">I8+J8+M8</x:f>
        <x:v>10</x:v>
      </x:c>
      <x:c r="Q8" t="n">
        <x:f t="shared" si="6">N8+O8+P8</x:f>
        <x:v>34</x:v>
      </x:c>
      <x:c r="R8" t="str">
        <x:f t="shared" si="7">IF(ISNUMBER($B$12),F8*N8+G8*O8+H8*P8,"")</x:f>
      </x:c>
    </x:row>
    <x:row r="9">
      <x:c r="A9">
        <x:v>3</x:v>
      </x:c>
      <x:c r="B9">
        <x:v>8</x:v>
      </x:c>
      <x:c r="C9" t="n">
        <x:v>0.675</x:v>
      </x:c>
      <x:c r="D9" t="n">
        <x:f t="shared" si="1">C9+0.025</x:f>
        <x:v>0.7000000000000001</x:v>
      </x:c>
      <x:c r="E9" t="n">
        <x:f t="shared" si="1">D9+0.025</x:f>
        <x:v>0.7250000000000001</x:v>
      </x:c>
      <x:c r="F9" t="str">
        <x:f t="shared" si="2">IF(ISNUMBER($B$12),C9*$B$12,"")</x:f>
      </x:c>
      <x:c r="G9" t="str">
        <x:f t="shared" si="0">IF(ISNUMBER($B$12),D9*$B$12,"")</x:f>
      </x:c>
      <x:c r="H9" t="str">
        <x:f t="shared" si="0">IF(ISNUMBER($B$12),E9*$B$12,"")</x:f>
      </x:c>
      <x:c r="I9" t="n">
        <x:v>7</x:v>
      </x:c>
      <x:c r="J9">
        <x:v>2</x:v>
      </x:c>
      <x:c r="K9">
        <x:v>3</x:v>
      </x:c>
      <x:c r="L9">
        <x:v>1</x:v>
      </x:c>
      <x:c r="M9">
        <x:v>0</x:v>
      </x:c>
      <x:c r="N9" t="n">
        <x:f t="shared" si="3">I9+J9+K9</x:f>
        <x:v>12</x:v>
      </x:c>
      <x:c r="O9" t="n">
        <x:f t="shared" si="4">I9+J9+L9</x:f>
        <x:v>10</x:v>
      </x:c>
      <x:c r="P9" t="n">
        <x:f t="shared" si="5">I9+J9+M9</x:f>
        <x:v>9</x:v>
      </x:c>
      <x:c r="Q9" t="n">
        <x:f t="shared" si="6">N9+O9+P9</x:f>
        <x:v>31</x:v>
      </x:c>
      <x:c r="R9" t="str">
        <x:f t="shared" si="7">IF(ISNUMBER($B$12),F9*N9+G9*O9+H9*P9,"")</x:f>
      </x:c>
    </x:row>
    <x:row r="10">
      <x:c r="A10">
        <x:v>3</x:v>
      </x:c>
      <x:c r="B10">
        <x:v>9</x:v>
      </x:c>
      <x:c r="C10" t="n">
        <x:v>0.7</x:v>
      </x:c>
      <x:c r="D10" t="n">
        <x:f t="shared" si="1">C10+0.025</x:f>
        <x:v>0.725</x:v>
      </x:c>
      <x:c r="E10" t="n">
        <x:f t="shared" si="1">D10+0.025</x:f>
        <x:v>0.75</x:v>
      </x:c>
      <x:c r="F10" t="str">
        <x:f t="shared" si="2">IF(ISNUMBER($B$12),C10*$B$12,"")</x:f>
      </x:c>
      <x:c r="G10" t="str">
        <x:f t="shared" si="0">IF(ISNUMBER($B$12),D10*$B$12,"")</x:f>
      </x:c>
      <x:c r="H10" t="str">
        <x:f>IF(ISNUMBER($B$12),E10*$B$12,"")</x:f>
      </x:c>
      <x:c r="I10" t="n">
        <x:v>7</x:v>
      </x:c>
      <x:c r="J10">
        <x:v>1</x:v>
      </x:c>
      <x:c r="K10">
        <x:v>3</x:v>
      </x:c>
      <x:c r="L10">
        <x:v>1</x:v>
      </x:c>
      <x:c r="M10">
        <x:v>0</x:v>
      </x:c>
      <x:c r="N10" t="n">
        <x:f t="shared" si="3">I10+J10+K10</x:f>
        <x:v>11</x:v>
      </x:c>
      <x:c r="O10" t="n">
        <x:f t="shared" si="4">I10+J10+L10</x:f>
        <x:v>9</x:v>
      </x:c>
      <x:c r="P10" t="n">
        <x:f t="shared" si="5">I10+J10+M10</x:f>
        <x:v>8</x:v>
      </x:c>
      <x:c r="Q10" t="n">
        <x:f t="shared" si="6">N10+O10+P10</x:f>
        <x:v>28</x:v>
      </x:c>
      <x:c r="R10" t="str">
        <x:f t="shared" si="7">IF(ISNUMBER($B$12),F10*N10+G10*O10+H10*P10,"")</x:f>
      </x:c>
    </x:row>
    <x:row r="12">
      <x:c r="A12" t="str">
        <x:v>RM accesorio</x:v>
      </x:c>
      <x:c r="B12"/>
      <x:c r="D12" t="str">
        <x:v>Ingresar en B12 el RM propio del accesorio (misma unidad y equipo).</x:v>
      </x:c>
    </x:row>
    <x:row r="14" ht="25" customHeight="1">
      <x:c r="A14" s="2" t="str">
        <x:v>Propuesta inicial: 3 series; descanso de 2 minutos entre series; buscar 2–3 repeticiones en reserva (RIR).</x:v>
      </x:c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</x:row>
    <x:row r="15" ht="25" customHeight="1">
      <x:c r="A15" s="2" t="str">
        <x:v>Los porcentajes no garantizan el RIR. Si no queda ese margen, reducir carga o repeticiones; no forzar la tabla.</x:v>
      </x:c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</x:row>
    <x:row r="16" ht="25" customHeight="1">
      <x:c r="A16" s="2" t="str">
        <x:v>Redondeo hacia arriba según equipo disponible: comprobar el esfuerzo con la carga real, no solo la teórica.</x:v>
      </x:c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</x:row>
    <x:row r="17" ht="25" customHeight="1">
      <x:c r="A17" s="2" t="str">
        <x:v>Etapa compartida por las cinco sesiones. Las nueve etapas son una adaptación práctica, no un protocolo validado.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</x:row>
    <x:row r="18" ht="25" customHeight="1">
      <x:c r="A18" s="2" t="str">
        <x:v>Sostenibilidad global pendiente de definir ejercicios, frecuencia y volumen total por grupo muscular.</x:v>
      </x:c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</x:row>
    <x:row r="19" ht="25" customHeight="1">
      <x:c r="A19" s="2" t="str">
        <x:v>Fuentes: Nuzzo et al. (2024), https://pubmed.ncbi.nlm.nih.gov/37792272/</x:v>
      </x:c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</x:row>
    <x:row r="20" ht="25" customHeight="1">
      <x:c r="A20" s="2" t="str">
        <x:v>Refalo et al. (2024), https://pubmed.ncbi.nlm.nih.gov/38393985/</x:v>
      </x:c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</x:row>
  </x:sheetData>
  <x:mergeCells>
    <x:mergeCell ref="D12:R12"/>
    <x:mergeCell ref="A14:R14"/>
    <x:mergeCell ref="A15:R15"/>
    <x:mergeCell ref="A16:R16"/>
    <x:mergeCell ref="A17:R17"/>
    <x:mergeCell ref="A18:R18"/>
    <x:mergeCell ref="A19:R19"/>
    <x:mergeCell ref="A20:R20"/>
  </x:mergeCells>
  <x:pageMargins left="0.7" right="0.7" top="0.75" bottom="0.75" header="0.3" footer="0.3"/>
</x:worksheet>
</file>