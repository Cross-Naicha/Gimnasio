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254ca56b479b7e/Coding/Gimnasio/"/>
    </mc:Choice>
  </mc:AlternateContent>
  <xr:revisionPtr revIDLastSave="21" documentId="8_{5056BCE5-5F20-4FE0-94C8-7E4CFCB22DBA}" xr6:coauthVersionLast="47" xr6:coauthVersionMax="47" xr10:uidLastSave="{9984A834-1093-47D3-9E5F-FBD466E4D473}"/>
  <bookViews>
    <workbookView xWindow="-108" yWindow="-108" windowWidth="23256" windowHeight="13176" activeTab="1" xr2:uid="{1817A564-F5D7-49A9-A4DA-6AD570318BFD}"/>
  </bookViews>
  <sheets>
    <sheet name="Principal" sheetId="1" r:id="rId1"/>
    <sheet name="Accesori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3" l="1"/>
  <c r="O10" i="3"/>
  <c r="N10" i="3"/>
  <c r="Q10" i="3" s="1"/>
  <c r="F10" i="3"/>
  <c r="D10" i="3"/>
  <c r="P9" i="3"/>
  <c r="O9" i="3"/>
  <c r="N9" i="3"/>
  <c r="F9" i="3"/>
  <c r="D9" i="3"/>
  <c r="P8" i="3"/>
  <c r="O8" i="3"/>
  <c r="N8" i="3"/>
  <c r="Q8" i="3" s="1"/>
  <c r="F8" i="3"/>
  <c r="D8" i="3"/>
  <c r="P7" i="3"/>
  <c r="O7" i="3"/>
  <c r="N7" i="3"/>
  <c r="Q7" i="3" s="1"/>
  <c r="F7" i="3"/>
  <c r="D7" i="3"/>
  <c r="P6" i="3"/>
  <c r="O6" i="3"/>
  <c r="N6" i="3"/>
  <c r="F6" i="3"/>
  <c r="D6" i="3"/>
  <c r="P5" i="3"/>
  <c r="O5" i="3"/>
  <c r="N5" i="3"/>
  <c r="F5" i="3"/>
  <c r="D5" i="3"/>
  <c r="P4" i="3"/>
  <c r="O4" i="3"/>
  <c r="N4" i="3"/>
  <c r="Q4" i="3" s="1"/>
  <c r="F4" i="3"/>
  <c r="D4" i="3"/>
  <c r="P3" i="3"/>
  <c r="O3" i="3"/>
  <c r="N3" i="3"/>
  <c r="Q3" i="3" s="1"/>
  <c r="F3" i="3"/>
  <c r="D3" i="3"/>
  <c r="P2" i="3"/>
  <c r="O2" i="3"/>
  <c r="N2" i="3"/>
  <c r="Q2" i="3" s="1"/>
  <c r="F2" i="3"/>
  <c r="D2" i="3"/>
  <c r="R3" i="1"/>
  <c r="R4" i="1"/>
  <c r="R5" i="1"/>
  <c r="R6" i="1"/>
  <c r="R7" i="1"/>
  <c r="R8" i="1"/>
  <c r="R9" i="1"/>
  <c r="R10" i="1"/>
  <c r="R2" i="1"/>
  <c r="Q3" i="1"/>
  <c r="Q4" i="1"/>
  <c r="Q5" i="1"/>
  <c r="Q6" i="1"/>
  <c r="Q7" i="1"/>
  <c r="Q8" i="1"/>
  <c r="Q9" i="1"/>
  <c r="Q10" i="1"/>
  <c r="Q2" i="1"/>
  <c r="H10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G10" i="1"/>
  <c r="G2" i="1"/>
  <c r="H2" i="1"/>
  <c r="F3" i="1"/>
  <c r="F4" i="1"/>
  <c r="F5" i="1"/>
  <c r="F6" i="1"/>
  <c r="F7" i="1"/>
  <c r="F8" i="1"/>
  <c r="F9" i="1"/>
  <c r="F10" i="1"/>
  <c r="F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2" i="1"/>
  <c r="E2" i="1" s="1"/>
  <c r="P3" i="1"/>
  <c r="P4" i="1"/>
  <c r="P5" i="1"/>
  <c r="P6" i="1"/>
  <c r="P7" i="1"/>
  <c r="P8" i="1"/>
  <c r="P9" i="1"/>
  <c r="P10" i="1"/>
  <c r="O3" i="1"/>
  <c r="O4" i="1"/>
  <c r="O5" i="1"/>
  <c r="O6" i="1"/>
  <c r="O7" i="1"/>
  <c r="O8" i="1"/>
  <c r="O9" i="1"/>
  <c r="O10" i="1"/>
  <c r="N3" i="1"/>
  <c r="N4" i="1"/>
  <c r="N5" i="1"/>
  <c r="N6" i="1"/>
  <c r="N7" i="1"/>
  <c r="N8" i="1"/>
  <c r="N9" i="1"/>
  <c r="N10" i="1"/>
  <c r="P2" i="1"/>
  <c r="O2" i="1"/>
  <c r="N2" i="1"/>
  <c r="Q9" i="3" l="1"/>
  <c r="E3" i="3"/>
  <c r="H3" i="3" s="1"/>
  <c r="G3" i="3"/>
  <c r="G10" i="3"/>
  <c r="E10" i="3"/>
  <c r="H10" i="3" s="1"/>
  <c r="E9" i="3"/>
  <c r="H9" i="3" s="1"/>
  <c r="G9" i="3"/>
  <c r="R9" i="3" s="1"/>
  <c r="G8" i="3"/>
  <c r="E8" i="3"/>
  <c r="H8" i="3" s="1"/>
  <c r="E7" i="3"/>
  <c r="H7" i="3" s="1"/>
  <c r="G7" i="3"/>
  <c r="R7" i="3" s="1"/>
  <c r="Q6" i="3"/>
  <c r="E6" i="3"/>
  <c r="H6" i="3" s="1"/>
  <c r="G6" i="3"/>
  <c r="R6" i="3" s="1"/>
  <c r="Q5" i="3"/>
  <c r="E5" i="3"/>
  <c r="H5" i="3" s="1"/>
  <c r="G5" i="3"/>
  <c r="R5" i="3" s="1"/>
  <c r="E4" i="3"/>
  <c r="H4" i="3" s="1"/>
  <c r="G4" i="3"/>
  <c r="E2" i="3"/>
  <c r="H2" i="3" s="1"/>
  <c r="G2" i="3"/>
  <c r="R3" i="3"/>
  <c r="R10" i="3" l="1"/>
  <c r="R8" i="3"/>
  <c r="R4" i="3"/>
  <c r="R2" i="3"/>
</calcChain>
</file>

<file path=xl/sharedStrings.xml><?xml version="1.0" encoding="utf-8"?>
<sst xmlns="http://schemas.openxmlformats.org/spreadsheetml/2006/main" count="38" uniqueCount="19">
  <si>
    <t>Semana</t>
  </si>
  <si>
    <t>Ciclo</t>
  </si>
  <si>
    <t>Serie_1</t>
  </si>
  <si>
    <t>Serie_2</t>
  </si>
  <si>
    <t>Serie_3</t>
  </si>
  <si>
    <t>Peso-1</t>
  </si>
  <si>
    <t>Peso-2</t>
  </si>
  <si>
    <t>Peso-3</t>
  </si>
  <si>
    <t>Serie-1</t>
  </si>
  <si>
    <t>Serie-2</t>
  </si>
  <si>
    <t>Serie-3</t>
  </si>
  <si>
    <t>Rep_Base</t>
  </si>
  <si>
    <t>Rep_Sem</t>
  </si>
  <si>
    <t>Rep_1</t>
  </si>
  <si>
    <t>Rep_2</t>
  </si>
  <si>
    <t>Rep_3</t>
  </si>
  <si>
    <t>Pecho plano</t>
  </si>
  <si>
    <t>Volumen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</si>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</sst>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49A7-8A75-4375-8A3E-156CBA8F6D22}">
  <dimension ref="A1:R12"/>
  <sheetViews>
    <sheetView workbookViewId="0">
      <selection activeCell="Q13" sqref="Q13"/>
    </sheetView>
  </sheetViews>
  <sheetFormatPr baseColWidth="10" defaultRowHeight="14.4" x14ac:dyDescent="0.3"/>
  <sheetData>
    <row r="1" spans="1:18" x14ac:dyDescent="0.3">
      <c r="A1" t="s">
        <v>1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2</v>
      </c>
      <c r="O1" t="s">
        <v>3</v>
      </c>
      <c r="P1" t="s">
        <v>4</v>
      </c>
      <c r="Q1" t="s">
        <v>17</v>
      </c>
      <c r="R1" t="s">
        <v>18</v>
      </c>
    </row>
    <row r="2" spans="1:18" x14ac:dyDescent="0.3">
      <c r="A2">
        <v>1</v>
      </c>
      <c r="B2">
        <v>1</v>
      </c>
      <c r="C2">
        <v>0.7</v>
      </c>
      <c r="D2">
        <f>C2+0.025</f>
        <v>0.72499999999999998</v>
      </c>
      <c r="E2">
        <f>D2+0.025</f>
        <v>0.75</v>
      </c>
      <c r="F2">
        <f>C2*$B$12</f>
        <v>71.75</v>
      </c>
      <c r="G2">
        <f t="shared" ref="G2:H10" si="0">D2*$B$12</f>
        <v>74.3125</v>
      </c>
      <c r="H2">
        <f t="shared" si="0"/>
        <v>76.875</v>
      </c>
      <c r="I2">
        <v>3</v>
      </c>
      <c r="J2">
        <v>3</v>
      </c>
      <c r="K2">
        <v>3</v>
      </c>
      <c r="L2">
        <v>1</v>
      </c>
      <c r="M2">
        <v>0</v>
      </c>
      <c r="N2">
        <f>I2+J2+K2</f>
        <v>9</v>
      </c>
      <c r="O2">
        <f>I2+J2+L2</f>
        <v>7</v>
      </c>
      <c r="P2">
        <f>I2+J2+M2</f>
        <v>6</v>
      </c>
      <c r="Q2">
        <f>N2+O2+P2</f>
        <v>22</v>
      </c>
      <c r="R2">
        <f>F2*N2+G2*O2+H2*P2</f>
        <v>1627.1875</v>
      </c>
    </row>
    <row r="3" spans="1:18" x14ac:dyDescent="0.3">
      <c r="A3">
        <v>1</v>
      </c>
      <c r="B3">
        <v>2</v>
      </c>
      <c r="C3">
        <v>0.75</v>
      </c>
      <c r="D3">
        <f t="shared" ref="D3:E10" si="1">C3+0.025</f>
        <v>0.77500000000000002</v>
      </c>
      <c r="E3">
        <f t="shared" si="1"/>
        <v>0.8</v>
      </c>
      <c r="F3">
        <f t="shared" ref="F3:F10" si="2">C3*$B$12</f>
        <v>76.875</v>
      </c>
      <c r="G3">
        <f t="shared" si="0"/>
        <v>79.4375</v>
      </c>
      <c r="H3">
        <f t="shared" si="0"/>
        <v>82</v>
      </c>
      <c r="I3">
        <v>3</v>
      </c>
      <c r="J3">
        <v>2</v>
      </c>
      <c r="K3">
        <v>3</v>
      </c>
      <c r="L3">
        <v>1</v>
      </c>
      <c r="M3">
        <v>0</v>
      </c>
      <c r="N3">
        <f t="shared" ref="N3:N10" si="3">I3+J3+K3</f>
        <v>8</v>
      </c>
      <c r="O3">
        <f t="shared" ref="O3:O10" si="4">I3+J3+L3</f>
        <v>6</v>
      </c>
      <c r="P3">
        <f t="shared" ref="P3:P10" si="5">I3+J3+M3</f>
        <v>5</v>
      </c>
      <c r="Q3">
        <f t="shared" ref="Q3:Q10" si="6">N3+O3+P3</f>
        <v>19</v>
      </c>
      <c r="R3">
        <f t="shared" ref="R3:R10" si="7">F3*N3+G3*O3+H3*P3</f>
        <v>1501.625</v>
      </c>
    </row>
    <row r="4" spans="1:18" x14ac:dyDescent="0.3">
      <c r="A4">
        <v>1</v>
      </c>
      <c r="B4">
        <v>3</v>
      </c>
      <c r="C4">
        <v>0.8</v>
      </c>
      <c r="D4">
        <f t="shared" si="1"/>
        <v>0.82500000000000007</v>
      </c>
      <c r="E4">
        <f t="shared" si="1"/>
        <v>0.85000000000000009</v>
      </c>
      <c r="F4">
        <f t="shared" si="2"/>
        <v>82</v>
      </c>
      <c r="G4">
        <f t="shared" si="0"/>
        <v>84.5625</v>
      </c>
      <c r="H4">
        <f t="shared" si="0"/>
        <v>87.125000000000014</v>
      </c>
      <c r="I4">
        <v>3</v>
      </c>
      <c r="J4">
        <v>1</v>
      </c>
      <c r="K4">
        <v>3</v>
      </c>
      <c r="L4">
        <v>1</v>
      </c>
      <c r="M4">
        <v>0</v>
      </c>
      <c r="N4">
        <f t="shared" si="3"/>
        <v>7</v>
      </c>
      <c r="O4">
        <f t="shared" si="4"/>
        <v>5</v>
      </c>
      <c r="P4">
        <f t="shared" si="5"/>
        <v>4</v>
      </c>
      <c r="Q4">
        <f t="shared" si="6"/>
        <v>16</v>
      </c>
      <c r="R4">
        <f t="shared" si="7"/>
        <v>1345.3125</v>
      </c>
    </row>
    <row r="5" spans="1:18" x14ac:dyDescent="0.3">
      <c r="A5">
        <v>2</v>
      </c>
      <c r="B5">
        <v>4</v>
      </c>
      <c r="C5">
        <v>0.75</v>
      </c>
      <c r="D5">
        <f t="shared" si="1"/>
        <v>0.77500000000000002</v>
      </c>
      <c r="E5">
        <f t="shared" si="1"/>
        <v>0.8</v>
      </c>
      <c r="F5">
        <f t="shared" si="2"/>
        <v>76.875</v>
      </c>
      <c r="G5">
        <f t="shared" si="0"/>
        <v>79.4375</v>
      </c>
      <c r="H5">
        <f t="shared" si="0"/>
        <v>82</v>
      </c>
      <c r="I5">
        <v>2</v>
      </c>
      <c r="J5">
        <v>3</v>
      </c>
      <c r="K5">
        <v>3</v>
      </c>
      <c r="L5">
        <v>1</v>
      </c>
      <c r="M5">
        <v>0</v>
      </c>
      <c r="N5">
        <f t="shared" si="3"/>
        <v>8</v>
      </c>
      <c r="O5">
        <f t="shared" si="4"/>
        <v>6</v>
      </c>
      <c r="P5">
        <f t="shared" si="5"/>
        <v>5</v>
      </c>
      <c r="Q5">
        <f t="shared" si="6"/>
        <v>19</v>
      </c>
      <c r="R5">
        <f t="shared" si="7"/>
        <v>1501.625</v>
      </c>
    </row>
    <row r="6" spans="1:18" x14ac:dyDescent="0.3">
      <c r="A6">
        <v>2</v>
      </c>
      <c r="B6">
        <v>5</v>
      </c>
      <c r="C6">
        <v>0.8</v>
      </c>
      <c r="D6">
        <f t="shared" si="1"/>
        <v>0.82500000000000007</v>
      </c>
      <c r="E6">
        <f t="shared" si="1"/>
        <v>0.85000000000000009</v>
      </c>
      <c r="F6">
        <f t="shared" si="2"/>
        <v>82</v>
      </c>
      <c r="G6">
        <f t="shared" si="0"/>
        <v>84.5625</v>
      </c>
      <c r="H6">
        <f t="shared" si="0"/>
        <v>87.125000000000014</v>
      </c>
      <c r="I6">
        <v>2</v>
      </c>
      <c r="J6">
        <v>2</v>
      </c>
      <c r="K6">
        <v>3</v>
      </c>
      <c r="L6">
        <v>1</v>
      </c>
      <c r="M6">
        <v>0</v>
      </c>
      <c r="N6">
        <f t="shared" si="3"/>
        <v>7</v>
      </c>
      <c r="O6">
        <f t="shared" si="4"/>
        <v>5</v>
      </c>
      <c r="P6">
        <f t="shared" si="5"/>
        <v>4</v>
      </c>
      <c r="Q6">
        <f t="shared" si="6"/>
        <v>16</v>
      </c>
      <c r="R6">
        <f t="shared" si="7"/>
        <v>1345.3125</v>
      </c>
    </row>
    <row r="7" spans="1:18" x14ac:dyDescent="0.3">
      <c r="A7">
        <v>2</v>
      </c>
      <c r="B7">
        <v>6</v>
      </c>
      <c r="C7">
        <v>0.85</v>
      </c>
      <c r="D7">
        <f t="shared" si="1"/>
        <v>0.875</v>
      </c>
      <c r="E7">
        <f t="shared" si="1"/>
        <v>0.9</v>
      </c>
      <c r="F7">
        <f t="shared" si="2"/>
        <v>87.125</v>
      </c>
      <c r="G7">
        <f t="shared" si="0"/>
        <v>89.6875</v>
      </c>
      <c r="H7">
        <f t="shared" si="0"/>
        <v>92.25</v>
      </c>
      <c r="I7">
        <v>2</v>
      </c>
      <c r="J7">
        <v>1</v>
      </c>
      <c r="K7">
        <v>3</v>
      </c>
      <c r="L7">
        <v>1</v>
      </c>
      <c r="M7">
        <v>0</v>
      </c>
      <c r="N7">
        <f t="shared" si="3"/>
        <v>6</v>
      </c>
      <c r="O7">
        <f t="shared" si="4"/>
        <v>4</v>
      </c>
      <c r="P7">
        <f t="shared" si="5"/>
        <v>3</v>
      </c>
      <c r="Q7">
        <f t="shared" si="6"/>
        <v>13</v>
      </c>
      <c r="R7">
        <f t="shared" si="7"/>
        <v>1158.25</v>
      </c>
    </row>
    <row r="8" spans="1:18" x14ac:dyDescent="0.3">
      <c r="A8">
        <v>3</v>
      </c>
      <c r="B8">
        <v>7</v>
      </c>
      <c r="C8">
        <v>0.8</v>
      </c>
      <c r="D8">
        <f t="shared" si="1"/>
        <v>0.82500000000000007</v>
      </c>
      <c r="E8">
        <f t="shared" si="1"/>
        <v>0.85000000000000009</v>
      </c>
      <c r="F8">
        <f t="shared" si="2"/>
        <v>82</v>
      </c>
      <c r="G8">
        <f t="shared" si="0"/>
        <v>84.5625</v>
      </c>
      <c r="H8">
        <f t="shared" si="0"/>
        <v>87.125000000000014</v>
      </c>
      <c r="I8">
        <v>1</v>
      </c>
      <c r="J8">
        <v>3</v>
      </c>
      <c r="K8">
        <v>3</v>
      </c>
      <c r="L8">
        <v>1</v>
      </c>
      <c r="M8">
        <v>0</v>
      </c>
      <c r="N8">
        <f t="shared" si="3"/>
        <v>7</v>
      </c>
      <c r="O8">
        <f t="shared" si="4"/>
        <v>5</v>
      </c>
      <c r="P8">
        <f t="shared" si="5"/>
        <v>4</v>
      </c>
      <c r="Q8">
        <f t="shared" si="6"/>
        <v>16</v>
      </c>
      <c r="R8">
        <f t="shared" si="7"/>
        <v>1345.3125</v>
      </c>
    </row>
    <row r="9" spans="1:18" x14ac:dyDescent="0.3">
      <c r="A9">
        <v>3</v>
      </c>
      <c r="B9">
        <v>8</v>
      </c>
      <c r="C9">
        <v>0.85</v>
      </c>
      <c r="D9">
        <f t="shared" si="1"/>
        <v>0.875</v>
      </c>
      <c r="E9">
        <f t="shared" si="1"/>
        <v>0.9</v>
      </c>
      <c r="F9">
        <f t="shared" si="2"/>
        <v>87.125</v>
      </c>
      <c r="G9">
        <f t="shared" si="0"/>
        <v>89.6875</v>
      </c>
      <c r="H9">
        <f t="shared" si="0"/>
        <v>92.25</v>
      </c>
      <c r="I9">
        <v>1</v>
      </c>
      <c r="J9">
        <v>2</v>
      </c>
      <c r="K9">
        <v>3</v>
      </c>
      <c r="L9">
        <v>1</v>
      </c>
      <c r="M9">
        <v>0</v>
      </c>
      <c r="N9">
        <f t="shared" si="3"/>
        <v>6</v>
      </c>
      <c r="O9">
        <f t="shared" si="4"/>
        <v>4</v>
      </c>
      <c r="P9">
        <f t="shared" si="5"/>
        <v>3</v>
      </c>
      <c r="Q9">
        <f t="shared" si="6"/>
        <v>13</v>
      </c>
      <c r="R9">
        <f t="shared" si="7"/>
        <v>1158.25</v>
      </c>
    </row>
    <row r="10" spans="1:18" x14ac:dyDescent="0.3">
      <c r="A10">
        <v>3</v>
      </c>
      <c r="B10">
        <v>9</v>
      </c>
      <c r="C10">
        <v>0.9</v>
      </c>
      <c r="D10">
        <f t="shared" si="1"/>
        <v>0.92500000000000004</v>
      </c>
      <c r="E10">
        <f t="shared" si="1"/>
        <v>0.95000000000000007</v>
      </c>
      <c r="F10">
        <f t="shared" si="2"/>
        <v>92.25</v>
      </c>
      <c r="G10">
        <f t="shared" si="0"/>
        <v>94.8125</v>
      </c>
      <c r="H10">
        <f>E10*$B$12</f>
        <v>97.375</v>
      </c>
      <c r="I10">
        <v>1</v>
      </c>
      <c r="J10">
        <v>1</v>
      </c>
      <c r="K10">
        <v>3</v>
      </c>
      <c r="L10">
        <v>1</v>
      </c>
      <c r="M10">
        <v>0</v>
      </c>
      <c r="N10">
        <f t="shared" si="3"/>
        <v>5</v>
      </c>
      <c r="O10">
        <f t="shared" si="4"/>
        <v>3</v>
      </c>
      <c r="P10">
        <f t="shared" si="5"/>
        <v>2</v>
      </c>
      <c r="Q10">
        <f t="shared" si="6"/>
        <v>10</v>
      </c>
      <c r="R10">
        <f t="shared" si="7"/>
        <v>940.4375</v>
      </c>
    </row>
    <row r="12" spans="1:18" x14ac:dyDescent="0.3">
      <c r="A12" t="s">
        <v>16</v>
      </c>
      <c r="B12">
        <v>102.5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056E-29AB-4042-8C5D-8880D1CC0B70}">
  <dimension ref="A1:R12"/>
  <sheetViews>
    <sheetView tabSelected="1" workbookViewId="0">
      <selection activeCell="J2" sqref="J2"/>
    </sheetView>
  </sheetViews>
  <sheetFormatPr baseColWidth="10" defaultRowHeight="14.4" x14ac:dyDescent="0.3"/>
  <sheetData>
    <row r="1" spans="1:18" x14ac:dyDescent="0.3">
      <c r="A1" t="s">
        <v>1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2</v>
      </c>
      <c r="O1" t="s">
        <v>3</v>
      </c>
      <c r="P1" t="s">
        <v>4</v>
      </c>
      <c r="Q1" t="s">
        <v>17</v>
      </c>
      <c r="R1" t="s">
        <v>18</v>
      </c>
    </row>
    <row r="2" spans="1:18" x14ac:dyDescent="0.3">
      <c r="A2">
        <v>1</v>
      </c>
      <c r="B2">
        <v>1</v>
      </c>
      <c r="C2">
        <v>0.6</v>
      </c>
      <c r="D2">
        <f>C2+0.025</f>
        <v>0.625</v>
      </c>
      <c r="E2">
        <f>D2+0.025</f>
        <v>0.65</v>
      </c>
      <c r="F2">
        <f>C2*$B$12</f>
        <v>61.5</v>
      </c>
      <c r="G2">
        <f t="shared" ref="G2:H10" si="0">D2*$B$12</f>
        <v>64.0625</v>
      </c>
      <c r="H2">
        <f t="shared" si="0"/>
        <v>66.625</v>
      </c>
      <c r="I2">
        <v>12</v>
      </c>
      <c r="J2">
        <v>3</v>
      </c>
      <c r="K2">
        <v>3</v>
      </c>
      <c r="L2">
        <v>1</v>
      </c>
      <c r="M2">
        <v>0</v>
      </c>
      <c r="N2">
        <f>I2+J2+K2</f>
        <v>18</v>
      </c>
      <c r="O2">
        <f>I2+J2+L2</f>
        <v>16</v>
      </c>
      <c r="P2">
        <f>I2+J2+M2</f>
        <v>15</v>
      </c>
      <c r="Q2">
        <f>N2+O2+P2</f>
        <v>49</v>
      </c>
      <c r="R2">
        <f>F2*N2+G2*O2+H2*P2</f>
        <v>3131.375</v>
      </c>
    </row>
    <row r="3" spans="1:18" x14ac:dyDescent="0.3">
      <c r="A3">
        <v>1</v>
      </c>
      <c r="B3">
        <v>2</v>
      </c>
      <c r="C3">
        <v>0.65</v>
      </c>
      <c r="D3">
        <f t="shared" ref="D3:E10" si="1">C3+0.025</f>
        <v>0.67500000000000004</v>
      </c>
      <c r="E3">
        <f t="shared" si="1"/>
        <v>0.70000000000000007</v>
      </c>
      <c r="F3">
        <f t="shared" ref="F3:F10" si="2">C3*$B$12</f>
        <v>66.625</v>
      </c>
      <c r="G3">
        <f t="shared" si="0"/>
        <v>69.1875</v>
      </c>
      <c r="H3">
        <f t="shared" si="0"/>
        <v>71.75</v>
      </c>
      <c r="I3">
        <v>12</v>
      </c>
      <c r="J3">
        <v>2</v>
      </c>
      <c r="K3">
        <v>3</v>
      </c>
      <c r="L3">
        <v>1</v>
      </c>
      <c r="M3">
        <v>0</v>
      </c>
      <c r="N3">
        <f t="shared" ref="N3:N10" si="3">I3+J3+K3</f>
        <v>17</v>
      </c>
      <c r="O3">
        <f t="shared" ref="O3:O10" si="4">I3+J3+L3</f>
        <v>15</v>
      </c>
      <c r="P3">
        <f t="shared" ref="P3:P10" si="5">I3+J3+M3</f>
        <v>14</v>
      </c>
      <c r="Q3">
        <f t="shared" ref="Q3:Q10" si="6">N3+O3+P3</f>
        <v>46</v>
      </c>
      <c r="R3">
        <f t="shared" ref="R3:R10" si="7">F3*N3+G3*O3+H3*P3</f>
        <v>3174.9375</v>
      </c>
    </row>
    <row r="4" spans="1:18" x14ac:dyDescent="0.3">
      <c r="A4">
        <v>1</v>
      </c>
      <c r="B4">
        <v>3</v>
      </c>
      <c r="C4">
        <v>0.7</v>
      </c>
      <c r="D4">
        <f t="shared" si="1"/>
        <v>0.72499999999999998</v>
      </c>
      <c r="E4">
        <f t="shared" si="1"/>
        <v>0.75</v>
      </c>
      <c r="F4">
        <f t="shared" si="2"/>
        <v>71.75</v>
      </c>
      <c r="G4">
        <f t="shared" si="0"/>
        <v>74.3125</v>
      </c>
      <c r="H4">
        <f t="shared" si="0"/>
        <v>76.875</v>
      </c>
      <c r="I4">
        <v>12</v>
      </c>
      <c r="J4">
        <v>1</v>
      </c>
      <c r="K4">
        <v>3</v>
      </c>
      <c r="L4">
        <v>1</v>
      </c>
      <c r="M4">
        <v>0</v>
      </c>
      <c r="N4">
        <f t="shared" si="3"/>
        <v>16</v>
      </c>
      <c r="O4">
        <f t="shared" si="4"/>
        <v>14</v>
      </c>
      <c r="P4">
        <f t="shared" si="5"/>
        <v>13</v>
      </c>
      <c r="Q4">
        <f t="shared" si="6"/>
        <v>43</v>
      </c>
      <c r="R4">
        <f t="shared" si="7"/>
        <v>3187.75</v>
      </c>
    </row>
    <row r="5" spans="1:18" x14ac:dyDescent="0.3">
      <c r="A5">
        <v>2</v>
      </c>
      <c r="B5">
        <v>4</v>
      </c>
      <c r="C5">
        <v>0.65</v>
      </c>
      <c r="D5">
        <f t="shared" si="1"/>
        <v>0.67500000000000004</v>
      </c>
      <c r="E5">
        <f t="shared" si="1"/>
        <v>0.70000000000000007</v>
      </c>
      <c r="F5">
        <f t="shared" si="2"/>
        <v>66.625</v>
      </c>
      <c r="G5">
        <f t="shared" si="0"/>
        <v>69.1875</v>
      </c>
      <c r="H5">
        <f t="shared" si="0"/>
        <v>71.75</v>
      </c>
      <c r="I5">
        <v>10</v>
      </c>
      <c r="J5">
        <v>3</v>
      </c>
      <c r="K5">
        <v>3</v>
      </c>
      <c r="L5">
        <v>1</v>
      </c>
      <c r="M5">
        <v>0</v>
      </c>
      <c r="N5">
        <f t="shared" si="3"/>
        <v>16</v>
      </c>
      <c r="O5">
        <f t="shared" si="4"/>
        <v>14</v>
      </c>
      <c r="P5">
        <f t="shared" si="5"/>
        <v>13</v>
      </c>
      <c r="Q5">
        <f t="shared" si="6"/>
        <v>43</v>
      </c>
      <c r="R5">
        <f t="shared" si="7"/>
        <v>2967.375</v>
      </c>
    </row>
    <row r="6" spans="1:18" x14ac:dyDescent="0.3">
      <c r="A6">
        <v>2</v>
      </c>
      <c r="B6">
        <v>5</v>
      </c>
      <c r="C6">
        <v>0.7</v>
      </c>
      <c r="D6">
        <f t="shared" si="1"/>
        <v>0.72499999999999998</v>
      </c>
      <c r="E6">
        <f t="shared" si="1"/>
        <v>0.75</v>
      </c>
      <c r="F6">
        <f t="shared" si="2"/>
        <v>71.75</v>
      </c>
      <c r="G6">
        <f t="shared" si="0"/>
        <v>74.3125</v>
      </c>
      <c r="H6">
        <f t="shared" si="0"/>
        <v>76.875</v>
      </c>
      <c r="I6">
        <v>10</v>
      </c>
      <c r="J6">
        <v>2</v>
      </c>
      <c r="K6">
        <v>3</v>
      </c>
      <c r="L6">
        <v>1</v>
      </c>
      <c r="M6">
        <v>0</v>
      </c>
      <c r="N6">
        <f t="shared" si="3"/>
        <v>15</v>
      </c>
      <c r="O6">
        <f t="shared" si="4"/>
        <v>13</v>
      </c>
      <c r="P6">
        <f t="shared" si="5"/>
        <v>12</v>
      </c>
      <c r="Q6">
        <f t="shared" si="6"/>
        <v>40</v>
      </c>
      <c r="R6">
        <f t="shared" si="7"/>
        <v>2964.8125</v>
      </c>
    </row>
    <row r="7" spans="1:18" x14ac:dyDescent="0.3">
      <c r="A7">
        <v>2</v>
      </c>
      <c r="B7">
        <v>6</v>
      </c>
      <c r="C7">
        <v>0.75</v>
      </c>
      <c r="D7">
        <f t="shared" si="1"/>
        <v>0.77500000000000002</v>
      </c>
      <c r="E7">
        <f t="shared" si="1"/>
        <v>0.8</v>
      </c>
      <c r="F7">
        <f t="shared" si="2"/>
        <v>76.875</v>
      </c>
      <c r="G7">
        <f t="shared" si="0"/>
        <v>79.4375</v>
      </c>
      <c r="H7">
        <f t="shared" si="0"/>
        <v>82</v>
      </c>
      <c r="I7">
        <v>10</v>
      </c>
      <c r="J7">
        <v>1</v>
      </c>
      <c r="K7">
        <v>3</v>
      </c>
      <c r="L7">
        <v>1</v>
      </c>
      <c r="M7">
        <v>0</v>
      </c>
      <c r="N7">
        <f t="shared" si="3"/>
        <v>14</v>
      </c>
      <c r="O7">
        <f t="shared" si="4"/>
        <v>12</v>
      </c>
      <c r="P7">
        <f t="shared" si="5"/>
        <v>11</v>
      </c>
      <c r="Q7">
        <f t="shared" si="6"/>
        <v>37</v>
      </c>
      <c r="R7">
        <f t="shared" si="7"/>
        <v>2931.5</v>
      </c>
    </row>
    <row r="8" spans="1:18" x14ac:dyDescent="0.3">
      <c r="A8">
        <v>3</v>
      </c>
      <c r="B8">
        <v>7</v>
      </c>
      <c r="C8">
        <v>0.7</v>
      </c>
      <c r="D8">
        <f t="shared" si="1"/>
        <v>0.72499999999999998</v>
      </c>
      <c r="E8">
        <f t="shared" si="1"/>
        <v>0.75</v>
      </c>
      <c r="F8">
        <f t="shared" si="2"/>
        <v>71.75</v>
      </c>
      <c r="G8">
        <f t="shared" si="0"/>
        <v>74.3125</v>
      </c>
      <c r="H8">
        <f t="shared" si="0"/>
        <v>76.875</v>
      </c>
      <c r="I8">
        <v>8</v>
      </c>
      <c r="J8">
        <v>3</v>
      </c>
      <c r="K8">
        <v>3</v>
      </c>
      <c r="L8">
        <v>1</v>
      </c>
      <c r="M8">
        <v>0</v>
      </c>
      <c r="N8">
        <f t="shared" si="3"/>
        <v>14</v>
      </c>
      <c r="O8">
        <f t="shared" si="4"/>
        <v>12</v>
      </c>
      <c r="P8">
        <f t="shared" si="5"/>
        <v>11</v>
      </c>
      <c r="Q8">
        <f t="shared" si="6"/>
        <v>37</v>
      </c>
      <c r="R8">
        <f t="shared" si="7"/>
        <v>2741.875</v>
      </c>
    </row>
    <row r="9" spans="1:18" x14ac:dyDescent="0.3">
      <c r="A9">
        <v>3</v>
      </c>
      <c r="B9">
        <v>8</v>
      </c>
      <c r="C9">
        <v>0.75</v>
      </c>
      <c r="D9">
        <f t="shared" si="1"/>
        <v>0.77500000000000002</v>
      </c>
      <c r="E9">
        <f t="shared" si="1"/>
        <v>0.8</v>
      </c>
      <c r="F9">
        <f t="shared" si="2"/>
        <v>76.875</v>
      </c>
      <c r="G9">
        <f t="shared" si="0"/>
        <v>79.4375</v>
      </c>
      <c r="H9">
        <f t="shared" si="0"/>
        <v>82</v>
      </c>
      <c r="I9">
        <v>8</v>
      </c>
      <c r="J9">
        <v>2</v>
      </c>
      <c r="K9">
        <v>3</v>
      </c>
      <c r="L9">
        <v>1</v>
      </c>
      <c r="M9">
        <v>0</v>
      </c>
      <c r="N9">
        <f t="shared" si="3"/>
        <v>13</v>
      </c>
      <c r="O9">
        <f t="shared" si="4"/>
        <v>11</v>
      </c>
      <c r="P9">
        <f t="shared" si="5"/>
        <v>10</v>
      </c>
      <c r="Q9">
        <f t="shared" si="6"/>
        <v>34</v>
      </c>
      <c r="R9">
        <f t="shared" si="7"/>
        <v>2693.1875</v>
      </c>
    </row>
    <row r="10" spans="1:18" x14ac:dyDescent="0.3">
      <c r="A10">
        <v>3</v>
      </c>
      <c r="B10">
        <v>9</v>
      </c>
      <c r="C10">
        <v>0.8</v>
      </c>
      <c r="D10">
        <f t="shared" si="1"/>
        <v>0.82500000000000007</v>
      </c>
      <c r="E10">
        <f t="shared" si="1"/>
        <v>0.85000000000000009</v>
      </c>
      <c r="F10">
        <f t="shared" si="2"/>
        <v>82</v>
      </c>
      <c r="G10">
        <f t="shared" si="0"/>
        <v>84.5625</v>
      </c>
      <c r="H10">
        <f>E10*$B$12</f>
        <v>87.125000000000014</v>
      </c>
      <c r="I10">
        <v>8</v>
      </c>
      <c r="J10">
        <v>1</v>
      </c>
      <c r="K10">
        <v>3</v>
      </c>
      <c r="L10">
        <v>1</v>
      </c>
      <c r="M10">
        <v>0</v>
      </c>
      <c r="N10">
        <f t="shared" si="3"/>
        <v>12</v>
      </c>
      <c r="O10">
        <f t="shared" si="4"/>
        <v>10</v>
      </c>
      <c r="P10">
        <f t="shared" si="5"/>
        <v>9</v>
      </c>
      <c r="Q10">
        <f t="shared" si="6"/>
        <v>31</v>
      </c>
      <c r="R10">
        <f t="shared" si="7"/>
        <v>2613.75</v>
      </c>
    </row>
    <row r="12" spans="1:18" x14ac:dyDescent="0.3">
      <c r="A12" t="s">
        <v>16</v>
      </c>
      <c r="B12">
        <v>102.5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Accesorios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Daruich</dc:creator>
  <cp:lastModifiedBy>Nicolás Alberto Daruich</cp:lastModifiedBy>
  <dcterms:created xsi:type="dcterms:W3CDTF">2026-09-23T10:54:59Z</dcterms:created>
  <dcterms:modified xsi:type="dcterms:W3CDTF">2026-09-23T11:31:47Z</dcterms:modified>
</cp:coreProperties>
</file>